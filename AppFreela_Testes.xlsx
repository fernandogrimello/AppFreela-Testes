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lio56302266\Documents\"/>
    </mc:Choice>
  </mc:AlternateContent>
  <bookViews>
    <workbookView xWindow="0" yWindow="0" windowWidth="28800" windowHeight="12210" tabRatio="500"/>
  </bookViews>
  <sheets>
    <sheet name="Execução de Testes" sheetId="1" r:id="rId1"/>
    <sheet name="Resumo Executivo" sheetId="3" r:id="rId2"/>
  </sheets>
  <calcPr calcId="162913" iterateDelta="1E-4"/>
</workbook>
</file>

<file path=xl/calcChain.xml><?xml version="1.0" encoding="utf-8"?>
<calcChain xmlns="http://schemas.openxmlformats.org/spreadsheetml/2006/main">
  <c r="B12" i="3" l="1"/>
  <c r="B11" i="3"/>
  <c r="B10" i="3"/>
  <c r="B9" i="3"/>
  <c r="B8" i="3"/>
  <c r="B7" i="3"/>
  <c r="B6" i="3"/>
  <c r="B5" i="3"/>
  <c r="B4" i="3"/>
  <c r="C5" i="3" l="1"/>
  <c r="C6" i="3"/>
  <c r="C7" i="3"/>
  <c r="C8" i="3"/>
  <c r="C9" i="3"/>
  <c r="C10" i="3"/>
  <c r="C12" i="3"/>
  <c r="C11" i="3"/>
</calcChain>
</file>

<file path=xl/sharedStrings.xml><?xml version="1.0" encoding="utf-8"?>
<sst xmlns="http://schemas.openxmlformats.org/spreadsheetml/2006/main" count="242" uniqueCount="178">
  <si>
    <t>ATIVIDADE PRÁTICA — EXECUÇÃO DE TESTES MANUAIS  |  AppFreela</t>
  </si>
  <si>
    <t>Módulo: Login com E-mail e Senha</t>
  </si>
  <si>
    <t>ID</t>
  </si>
  <si>
    <t>Título do Cenário</t>
  </si>
  <si>
    <t>Tipo
(Pos/Neg)</t>
  </si>
  <si>
    <t>Objetivo
do Teste</t>
  </si>
  <si>
    <t>Pré-condição</t>
  </si>
  <si>
    <t>Dados
Utilizados</t>
  </si>
  <si>
    <t>Passo a Passo</t>
  </si>
  <si>
    <t>Comportamento
Esperado</t>
  </si>
  <si>
    <t>Status
Pass / Fail</t>
  </si>
  <si>
    <t>Prioridade</t>
  </si>
  <si>
    <t>CT-001</t>
  </si>
  <si>
    <t>Login com credenciais válidas</t>
  </si>
  <si>
    <t>POSITIVO</t>
  </si>
  <si>
    <t>Verificar se o sistema autentica corretamente um usuário com e-mail e senha válidos.</t>
  </si>
  <si>
    <t>Usuário cadastrado e ativo.
AppFreela instalado com acesso à internet.</t>
  </si>
  <si>
    <t>E-mail: usuario@appfreela.com
Senha: Senha@123</t>
  </si>
  <si>
    <t>1. Abrir o aplicativo AppFreela.
2. Inserir e-mail válido.
3. Inserir senha correta.
4. Clicar em 'Entrar'.</t>
  </si>
  <si>
    <t>Usuário autenticado com sucesso.
Redireciona para a tela Home.
Token de sessão gerado.</t>
  </si>
  <si>
    <t>Alta</t>
  </si>
  <si>
    <t>CT-002</t>
  </si>
  <si>
    <t>Navegação até o dashboard após login</t>
  </si>
  <si>
    <t>Verificar se o usuário é redirecionado corretamente ao dashboard após autenticação.</t>
  </si>
  <si>
    <t>Usuário autenticado (CT-001 executado com sucesso).</t>
  </si>
  <si>
    <t>Sessão ativa do CT-001</t>
  </si>
  <si>
    <t>1. Após login bem-sucedido, observar a tela exibida.
2. Verificar elementos do dashboard (menu, perfil, projetos).</t>
  </si>
  <si>
    <t>Dashboard (tela principal) carregado completamente.
Menu de navegação visível.
Nome/perfil do usuário exibido.</t>
  </si>
  <si>
    <t>CT-003</t>
  </si>
  <si>
    <t>Logout do sistema</t>
  </si>
  <si>
    <t>Verificar se o usuário consegue encerrar a sessão com sucesso.</t>
  </si>
  <si>
    <t>Usuário logado no sistema.</t>
  </si>
  <si>
    <t>Sessão ativa</t>
  </si>
  <si>
    <t>1. Estando logado, localizar a opção de 'Sair' / 'Logout'.
2. Clicar em 'Sair'.
3. Observar comportamento.</t>
  </si>
  <si>
    <t>Sessão encerrada com sucesso.
Usuário redirecionado para tela de login.
Token de sessão invalidado.</t>
  </si>
  <si>
    <t>CT-004</t>
  </si>
  <si>
    <t>Exibir/ocultar senha durante o login</t>
  </si>
  <si>
    <t>Verificar se o ícone de olho no campo senha funciona corretamente.</t>
  </si>
  <si>
    <t>Aplicativo AppFreela disponível.</t>
  </si>
  <si>
    <t>Senha digitada: Senha@123</t>
  </si>
  <si>
    <t>1. Digitar uma senha no campo 'Senha'.
2. Clicar no ícone de olho (mostrar).
3. Clicar novamente para ocultar.</t>
  </si>
  <si>
    <t>Senha exibida em texto legível ao clicar.
Senha ocultada com '●●●●' ao clicar novamente.</t>
  </si>
  <si>
    <t>Média</t>
  </si>
  <si>
    <t>CT-005</t>
  </si>
  <si>
    <t>Login sem preencher campos</t>
  </si>
  <si>
    <t>NEGATIVO</t>
  </si>
  <si>
    <t>Verificar se o sistema bloqueia o login quando ambos os campos estão em branco.</t>
  </si>
  <si>
    <t>E-mail: (vazio)
Senha: (vazio)</t>
  </si>
  <si>
    <t>1. Abrir o aplicativo.
2. Deixar e-mail e senha em branco.
3. Clicar em 'Entrar'.</t>
  </si>
  <si>
    <t>Formulário não é submetido.
Mensagens de validação exibidas:
'O campo e-mail é obrigatório.'
'O campo senha é obrigatório.'</t>
  </si>
  <si>
    <t>CT-006</t>
  </si>
  <si>
    <t>Login com usuário inválido (e-mail não cadastrado)</t>
  </si>
  <si>
    <t>Verificar se o sistema recusa o login de e-mails não cadastrados.</t>
  </si>
  <si>
    <t>E-mail: nao_existe@email.com
Senha: Qualquer@123</t>
  </si>
  <si>
    <t>1. Inserir e-mail não cadastrado.
2. Inserir senha qualquer.
3. Clicar em 'Entrar'.</t>
  </si>
  <si>
    <t>Mensagem de erro exibida:
'E-mail ou senha incorretos.'
Não revela se o e-mail existe (segurança).</t>
  </si>
  <si>
    <t>CT-007</t>
  </si>
  <si>
    <t>Login com senha inválida (incorreta)</t>
  </si>
  <si>
    <t>Verificar se o sistema recusa o acesso quando a senha está errada.</t>
  </si>
  <si>
    <t>Usuário cadastrado e ativo.</t>
  </si>
  <si>
    <t>E-mail: usuario@appfreela.com
Senha: SenhaErrada999</t>
  </si>
  <si>
    <t>1. Inserir e-mail válido.
2. Inserir senha incorreta.
3. Clicar em 'Entrar'.</t>
  </si>
  <si>
    <t>Mensagem de erro exibida:
'E-mail ou senha incorretos.'
Nenhuma sessão criada.
Usuário permanece na tela de login.</t>
  </si>
  <si>
    <t>CT-008</t>
  </si>
  <si>
    <t>Campos obrigatórios não preenchidos — só senha</t>
  </si>
  <si>
    <t>Verificar validação do campo e-mail quando apenas a senha é preenchida.</t>
  </si>
  <si>
    <t>E-mail: (vazio)
Senha: Senha@123</t>
  </si>
  <si>
    <t>1. Deixar o campo 'E-mail' em branco.
2. Preencher a senha.
3. Clicar em 'Entrar'.</t>
  </si>
  <si>
    <t>Campo e-mail destacado visualmente.
Mensagem: 'O campo e-mail é obrigatório.'
Formulário não enviado.</t>
  </si>
  <si>
    <t>CT-009</t>
  </si>
  <si>
    <t>Campos obrigatórios não preenchidos — só e-mail</t>
  </si>
  <si>
    <t>Verificar validação do campo senha quando apenas o e-mail é preenchido.</t>
  </si>
  <si>
    <t>E-mail: usuario@appfreela.com
Senha: (vazio)</t>
  </si>
  <si>
    <t>1. Preencher o campo 'E-mail'.
2. Deixar o campo 'Senha' em branco.
3. Clicar em 'Entrar'.</t>
  </si>
  <si>
    <t>Campo senha destacado visualmente.
Mensagem: 'O campo senha é obrigatório.'
Formulário não enviado.</t>
  </si>
  <si>
    <t>CT-010</t>
  </si>
  <si>
    <t>Login com formato de e-mail inválido</t>
  </si>
  <si>
    <t>Verificar se o sistema valida o formato do campo e-mail.</t>
  </si>
  <si>
    <t>E-mail: usuario@
Senha: Senha@123</t>
  </si>
  <si>
    <t>1. Inserir e-mail com formato inválido.
2. Inserir senha.
3. Clicar em 'Entrar'.</t>
  </si>
  <si>
    <t>Mensagem de validação: 'Informe um e-mail válido.'
Formulário não submetido ao servidor.</t>
  </si>
  <si>
    <t>CT-011</t>
  </si>
  <si>
    <t>Bloqueio após múltiplas tentativas falhas</t>
  </si>
  <si>
    <t>Verificar se a conta é bloqueada após exceder tentativas incorretas.</t>
  </si>
  <si>
    <t>Usuário cadastrado.
Política de bloqueio após 5 tentativas ativa.</t>
  </si>
  <si>
    <t>E-mail: usuario@appfreela.com
Senha: SenhaErrada (5x)</t>
  </si>
  <si>
    <t>1. Tentar login com senha errada 5 vezes consecutivas.
2. Observar mensagem na 5ª tentativa.
3. Tentar o 6º login.</t>
  </si>
  <si>
    <t>Após 5 erros: conta bloqueada.
Mensagem: 'Conta bloqueada. Tente novamente em X min.'
Login impedido mesmo com senha correta.</t>
  </si>
  <si>
    <t>RESUMO EXECUTIVO — MÓDULO DE LOGIN  |  AppFreela</t>
  </si>
  <si>
    <t>Métrica</t>
  </si>
  <si>
    <t>Fórmula / Valor</t>
  </si>
  <si>
    <t>% do Total</t>
  </si>
  <si>
    <t>Total de Cenários</t>
  </si>
  <si>
    <t>—</t>
  </si>
  <si>
    <t>Cenários Positivos</t>
  </si>
  <si>
    <t>Cenários Negativos</t>
  </si>
  <si>
    <t>Prioridade Alta</t>
  </si>
  <si>
    <t>Prioridade Média</t>
  </si>
  <si>
    <t>Prioridade Baixa</t>
  </si>
  <si>
    <t>Aprovados — Pass ✅</t>
  </si>
  <si>
    <t>Reprovados — Fail ❌</t>
  </si>
  <si>
    <t>Não Executados</t>
  </si>
  <si>
    <t>Comentários sobre
Comportamento Observado</t>
  </si>
  <si>
    <r>
      <rPr>
        <sz val="28"/>
        <color theme="1"/>
        <rFont val="Calibri"/>
        <family val="2"/>
      </rPr>
      <t xml:space="preserve"> AppFreela |   </t>
    </r>
    <r>
      <rPr>
        <u/>
        <sz val="28"/>
        <color theme="3" tint="0.39997558519241921"/>
        <rFont val="Calibri"/>
        <family val="2"/>
      </rPr>
      <t>https://appfreela.onrender.com</t>
    </r>
  </si>
  <si>
    <t xml:space="preserve">✅  TESTES POSITIVOS </t>
  </si>
  <si>
    <t>Verificar se o sistema aceita senhas com caracteres especiais (@, #, !, $).</t>
  </si>
  <si>
    <t>Usuário cadastrado com senha que contém caracteres especiais.</t>
  </si>
  <si>
    <t>E-mail: usuario@appfreela.com
Senha: P@ss#1!2$</t>
  </si>
  <si>
    <t>1. Abrir o aplicativo.
2. Inserir e-mail válido.
3. Inserir senha com caracteres especiais.
4. Clicar em 'Entrar'.</t>
  </si>
  <si>
    <t>Login realizado com sucesso.
Usuário redirecionado para a tela Home.</t>
  </si>
  <si>
    <t>Verificar se o sistema permite login simultâneo ou novo acesso em outro dispositivo.</t>
  </si>
  <si>
    <t>Usuário já logado em um dispositivo.
Segundo dispositivo disponível com o app instalado.</t>
  </si>
  <si>
    <t>E-mail: usuario@appfreela.com
Senha: Senha@123
Dispositivo 2</t>
  </si>
  <si>
    <t>1. Fazer login no dispositivo 1.
2. Abrir o app no dispositivo 2.
3. Inserir as mesmas credenciais.
4. Clicar em 'Entrar'.</t>
  </si>
  <si>
    <t>Login realizado com sucesso no dispositivo 2.
Sistema permite múltiplas sessões ou notifica o usuário.</t>
  </si>
  <si>
    <t>Verificar se o usuário consegue logar com a nova senha após redefini-la.</t>
  </si>
  <si>
    <t>Usuário cadastrado que solicitou redefinição de senha com sucesso.</t>
  </si>
  <si>
    <t>E-mail: usuario@appfreela.com
Senha nova: NovaSenha@456</t>
  </si>
  <si>
    <t>1. Redefinir a senha pelo fluxo de recuperação.
2. Acessar a tela de login.
3. Inserir e-mail e nova senha.
4. Clicar em 'Entrar'.</t>
  </si>
  <si>
    <t>Login realizado com sucesso usando a nova senha.
Senha antiga não funciona mais.</t>
  </si>
  <si>
    <t>Verificar se o sistema aceita senhas com o número máximo de caracteres permitido.</t>
  </si>
  <si>
    <t>Usuário cadastrado com senha de tamanho máximo (ex: 64 caracteres).</t>
  </si>
  <si>
    <t>E-mail: usuario@appfreela.com
Senha: Aa1!Aa1!Aa1!Aa1!Aa1!Aa1!Aa1!Aa1!Aa1!Aa1!Aa1!Aa1!Aa1!Aa1!Aa1!A</t>
  </si>
  <si>
    <t>1. Abrir o aplicativo.
2. Inserir e-mail válido.
3. Inserir senha com 64 caracteres.
4. Clicar em 'Entrar'.</t>
  </si>
  <si>
    <t>Login realizado com sucesso.
Sistema aceita o tamanho máximo sem truncar.</t>
  </si>
  <si>
    <t>Verificar se usuários com perfis diferentes são redirecionados para dashboards distintos.</t>
  </si>
  <si>
    <t>Dois usuários cadastrados: um Freelancer e um Contratante.</t>
  </si>
  <si>
    <t>Conta Freelancer: freelancer@appfreela.com / Senha@123
Conta Contratante: empresa@appfreela.com / Senha@123</t>
  </si>
  <si>
    <t>1. Fazer login com a conta Freelancer e observar o dashboard.
2. Fazer logout.
3. Fazer login com a conta Contratante e observar o dashboard.</t>
  </si>
  <si>
    <t>Freelancer: redirecionado para dashboard de projetos disponíveis.
Contratante: redirecionado para dashboard de publicação de vagas.</t>
  </si>
  <si>
    <t>Login com senha contendo caracteres especiais</t>
  </si>
  <si>
    <t>Login em dispositivo diferente (segundo acesso)</t>
  </si>
  <si>
    <t>Login após redefinição de senha</t>
  </si>
  <si>
    <t>Login com senha de tamanho máximo permitido</t>
  </si>
  <si>
    <t>Redirecionamento correto por perfil de usuário (Freelancer vs Contratante)</t>
  </si>
  <si>
    <t xml:space="preserve">❌  TESTES NEGATIVOS </t>
  </si>
  <si>
    <t>Login com senha expirada</t>
  </si>
  <si>
    <t>Verificar se o sistema bloqueia o acesso quando a senha do usuário expirou.</t>
  </si>
  <si>
    <t>Usuário com política de expiração de senha ativa e senha já vencida.</t>
  </si>
  <si>
    <t>E-mail: usuario@appfreela.com
Senha: SenhaExpirada@123</t>
  </si>
  <si>
    <t>1. Abrir o aplicativo.
2. Inserir e-mail e senha expirada.
3. Clicar em 'Entrar'.</t>
  </si>
  <si>
    <t>Login bloqueado.
Mensagem exibida: 'Sua senha expirou. Redefina-a para continuar.'
Usuário direcionado ao fluxo de redefinição.</t>
  </si>
  <si>
    <t>Login com conta desativada</t>
  </si>
  <si>
    <t>Verificar se o sistema impede o acesso de contas desativadas pelo administrador.</t>
  </si>
  <si>
    <t>Conta de usuário desativada no painel administrativo.</t>
  </si>
  <si>
    <t>E-mail: desativado@appfreela.com
Senha: Senha@123</t>
  </si>
  <si>
    <t>1. Abrir o aplicativo.
2. Inserir credenciais de conta desativada.
3. Clicar em 'Entrar'.</t>
  </si>
  <si>
    <t>Login recusado.
Mensagem: 'Conta desativada. Entre em contato com o suporte.'
Nenhuma sessão criada.</t>
  </si>
  <si>
    <t>Login com SQL Injection no campo e-mail</t>
  </si>
  <si>
    <t>Verificar se o sistema é resistente a tentativas de injeção de SQL no campo e-mail.</t>
  </si>
  <si>
    <t>E-mail: ' OR '1'='1
Senha: qualquer</t>
  </si>
  <si>
    <t>1. Abrir o aplicativo.
2. Inserir no campo e-mail: ' OR '1'='1
3. Inserir qualquer senha.
4. Clicar em 'Entrar'.</t>
  </si>
  <si>
    <t>Login recusado.
Sistema não executa a injeção.
Mensagem: 'E-mail ou senha incorretos.' ou erro de validação de formato.</t>
  </si>
  <si>
    <t>Login com senha contendo apenas espaços</t>
  </si>
  <si>
    <t>Verificar se o sistema rejeita senhas compostas somente por espaços em branco.</t>
  </si>
  <si>
    <t>E-mail: usuario@appfreela.com
Senha: '          ' (10 espaços)</t>
  </si>
  <si>
    <t>1. Abrir o aplicativo.
2. Inserir e-mail válido.
3. Inserir apenas espaços no campo senha.
4. Clicar em 'Entrar'.</t>
  </si>
  <si>
    <t>Sistema rejeita a entrada.
Mensagem: 'Senha inválida.' ou 'O campo senha é obrigatório.'
Formulário não enviado.</t>
  </si>
  <si>
    <t>Login com e-mail válido mas pertencente a outro sistema</t>
  </si>
  <si>
    <t>Verificar se o sistema recusa credenciais de outro sistema mesmo que o e-mail exista em outros cadastros.</t>
  </si>
  <si>
    <t>Aplicativo AppFreela disponível. E-mail existe em outro sistema mas não no AppFreela.</t>
  </si>
  <si>
    <t>E-mail: outro_sistema@gmail.com
Senha: Senha@123</t>
  </si>
  <si>
    <t>1. Abrir o aplicativo.
2. Inserir e-mail não cadastrado no AppFreela.
3. Inserir senha.
4. Clicar em 'Entrar'.</t>
  </si>
  <si>
    <t>Login recusado.
Mensagem genérica: 'E-mail ou senha incorretos.'
Sistema não revela se o e-mail existe ou não.</t>
  </si>
  <si>
    <t>CT-012</t>
  </si>
  <si>
    <t>CT-013</t>
  </si>
  <si>
    <t>CT-014</t>
  </si>
  <si>
    <t>CT-015</t>
  </si>
  <si>
    <t>CT-016</t>
  </si>
  <si>
    <t>CT-017</t>
  </si>
  <si>
    <t>CT-018</t>
  </si>
  <si>
    <t>CT-019</t>
  </si>
  <si>
    <t>CT-020</t>
  </si>
  <si>
    <t>CT-021</t>
  </si>
  <si>
    <t>Pass</t>
  </si>
  <si>
    <t>Fail</t>
  </si>
  <si>
    <t>Foram realizada 5 tentativas e o sistema não fez o bloqueio do usuario cadastrado</t>
  </si>
  <si>
    <t>Funcionalidade não desenvolvida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</si>
</sst>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9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sz val="11"/>
      <color rgb="FF1E3A5F"/>
      <name val="Arial"/>
      <family val="2"/>
    </font>
    <font>
      <b/>
      <sz val="10"/>
      <color rgb="FF1E3A5F"/>
      <name val="Arial"/>
      <family val="2"/>
    </font>
    <font>
      <b/>
      <sz val="10"/>
      <color rgb="FF7B5800"/>
      <name val="Arial"/>
      <family val="2"/>
    </font>
    <font>
      <b/>
      <sz val="10"/>
      <color rgb="FF4A148C"/>
      <name val="Arial"/>
      <family val="2"/>
    </font>
    <font>
      <b/>
      <sz val="10"/>
      <color rgb="FF333333"/>
      <name val="Arial"/>
      <family val="2"/>
    </font>
    <font>
      <b/>
      <sz val="10"/>
      <color rgb="FF1A5C2A"/>
      <name val="Arial"/>
      <family val="2"/>
    </font>
    <font>
      <sz val="10"/>
      <color rgb="FF333333"/>
      <name val="Arial"/>
      <family val="2"/>
    </font>
    <font>
      <b/>
      <sz val="10"/>
      <color rgb="FF8B0000"/>
      <name val="Arial"/>
      <family val="2"/>
    </font>
    <font>
      <b/>
      <sz val="10"/>
      <color rgb="FF7B1010"/>
      <name val="Arial"/>
      <family val="2"/>
    </font>
    <font>
      <b/>
      <sz val="11"/>
      <color rgb="FF1E3A5F"/>
      <name val="Arial"/>
      <family val="2"/>
    </font>
    <font>
      <b/>
      <sz val="11"/>
      <color rgb="FFFFFFFF"/>
      <name val="Arial"/>
      <family val="2"/>
    </font>
    <font>
      <sz val="10"/>
      <color rgb="FF555555"/>
      <name val="Arial"/>
      <family val="2"/>
    </font>
    <font>
      <u/>
      <sz val="11"/>
      <color theme="11"/>
      <name val="Calibri"/>
      <family val="2"/>
      <charset val="1"/>
    </font>
    <font>
      <b/>
      <i/>
      <sz val="14"/>
      <color theme="1"/>
      <name val="Arial"/>
      <family val="2"/>
    </font>
    <font>
      <u/>
      <sz val="28"/>
      <color theme="1"/>
      <name val="Calibri"/>
      <family val="2"/>
    </font>
    <font>
      <u/>
      <sz val="28"/>
      <color theme="3" tint="0.39997558519241921"/>
      <name val="Calibri"/>
      <family val="2"/>
    </font>
    <font>
      <sz val="28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D0E4F7"/>
        <bgColor rgb="FFD6F0DA"/>
      </patternFill>
    </fill>
    <fill>
      <patternFill patternType="solid">
        <fgColor rgb="FFE8F0FE"/>
        <bgColor rgb="FFF0F0F0"/>
      </patternFill>
    </fill>
    <fill>
      <patternFill patternType="solid">
        <fgColor rgb="FFFFF3CD"/>
        <bgColor rgb="FFFFF8E1"/>
      </patternFill>
    </fill>
    <fill>
      <patternFill patternType="solid">
        <fgColor rgb="FFFFF8E1"/>
        <bgColor rgb="FFFFFDE7"/>
      </patternFill>
    </fill>
    <fill>
      <patternFill patternType="solid">
        <fgColor rgb="FFF3E5F5"/>
        <bgColor rgb="FFFFE8E8"/>
      </patternFill>
    </fill>
    <fill>
      <patternFill patternType="solid">
        <fgColor rgb="FFF4F8FC"/>
        <bgColor rgb="FFF9F0FF"/>
      </patternFill>
    </fill>
    <fill>
      <patternFill patternType="solid">
        <fgColor rgb="FFD6F0DA"/>
        <bgColor rgb="FFC8F0C8"/>
      </patternFill>
    </fill>
    <fill>
      <patternFill patternType="solid">
        <fgColor rgb="FFFFFDE7"/>
        <bgColor rgb="FFFFF8E1"/>
      </patternFill>
    </fill>
    <fill>
      <patternFill patternType="solid">
        <fgColor rgb="FFF9F0FF"/>
        <bgColor rgb="FFF4F8FC"/>
      </patternFill>
    </fill>
    <fill>
      <patternFill patternType="solid">
        <fgColor rgb="FFFFE8E8"/>
        <bgColor rgb="FFF3E5F5"/>
      </patternFill>
    </fill>
    <fill>
      <patternFill patternType="solid">
        <fgColor rgb="FFFFFFFF"/>
        <bgColor rgb="FFFFFDE7"/>
      </patternFill>
    </fill>
    <fill>
      <patternFill patternType="solid">
        <fgColor rgb="FFFAD7D7"/>
        <bgColor rgb="FFFFE8E8"/>
      </patternFill>
    </fill>
    <fill>
      <patternFill patternType="solid">
        <fgColor rgb="FFC8F0C8"/>
        <bgColor rgb="FFD6F0DA"/>
      </patternFill>
    </fill>
    <fill>
      <patternFill patternType="solid">
        <fgColor rgb="FFFFB3B3"/>
        <bgColor rgb="FFFAD7D7"/>
      </patternFill>
    </fill>
  </fills>
  <borders count="4">
    <border>
      <left/>
      <right/>
      <top/>
      <bottom/>
      <diagonal/>
    </border>
    <border>
      <left style="thin">
        <color rgb="FFB0C4D8"/>
      </left>
      <right/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/>
      <top style="thin">
        <color rgb="FFB0C4D8"/>
      </top>
      <bottom style="thin">
        <color rgb="FFB0C4D8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0">
    <xf numFmtId="0" fontId="0" fillId="0" borderId="0" xfId="0" applyAlignment="1"/>
    <xf numFmtId="0" fontId="0" fillId="0" borderId="0" xfId="0" applyAlignment="1"/>
    <xf numFmtId="0" fontId="3" fillId="4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/>
    </xf>
    <xf numFmtId="164" fontId="13" fillId="13" borderId="2" xfId="0" applyNumberFormat="1" applyFont="1" applyFill="1" applyBorder="1" applyAlignment="1">
      <alignment horizontal="center" vertical="center"/>
    </xf>
    <xf numFmtId="164" fontId="13" fillId="8" borderId="2" xfId="0" applyNumberFormat="1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left" vertical="center" wrapText="1"/>
    </xf>
    <xf numFmtId="0" fontId="11" fillId="15" borderId="2" xfId="0" applyFont="1" applyFill="1" applyBorder="1" applyAlignment="1">
      <alignment horizontal="center" vertical="center"/>
    </xf>
    <xf numFmtId="164" fontId="13" fillId="15" borderId="2" xfId="0" applyNumberFormat="1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left" vertical="center" wrapText="1"/>
    </xf>
    <xf numFmtId="0" fontId="11" fillId="16" borderId="2" xfId="0" applyFont="1" applyFill="1" applyBorder="1" applyAlignment="1">
      <alignment horizontal="center" vertical="center"/>
    </xf>
    <xf numFmtId="164" fontId="13" fillId="16" borderId="2" xfId="0" applyNumberFormat="1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6" fillId="4" borderId="1" xfId="1" applyFont="1" applyFill="1" applyBorder="1" applyAlignment="1">
      <alignment horizontal="center" vertical="center" wrapText="1"/>
    </xf>
    <xf numFmtId="0" fontId="0" fillId="0" borderId="3" xfId="0" applyBorder="1"/>
    <xf numFmtId="0" fontId="16" fillId="4" borderId="3" xfId="1" applyFont="1" applyFill="1" applyBorder="1" applyAlignment="1">
      <alignment horizontal="center" vertical="center" wrapText="1"/>
    </xf>
  </cellXfs>
  <cellStyles count="2">
    <cellStyle name="Hiperlink Visitado" xfId="1" builtinId="9"/>
    <cellStyle name="Normal" xfId="0" builtinId="0"/>
  </cellStyles>
  <dxfs count="3"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B0000"/>
      <rgbColor rgb="FF1A5C2A"/>
      <rgbColor rgb="FF000080"/>
      <rgbColor rgb="FF7B5800"/>
      <rgbColor rgb="FF800080"/>
      <rgbColor rgb="FF008080"/>
      <rgbColor rgb="FFB0C4D8"/>
      <rgbColor rgb="FF808080"/>
      <rgbColor rgb="FFF9F0FF"/>
      <rgbColor rgb="FF993366"/>
      <rgbColor rgb="FFFFF8E1"/>
      <rgbColor rgb="FFD6F0DA"/>
      <rgbColor rgb="FF4A148C"/>
      <rgbColor rgb="FFFF8080"/>
      <rgbColor rgb="FF0066CC"/>
      <rgbColor rgb="FFD0E4F7"/>
      <rgbColor rgb="FF000080"/>
      <rgbColor rgb="FFFF00FF"/>
      <rgbColor rgb="FFF0F0F0"/>
      <rgbColor rgb="FF00FFFF"/>
      <rgbColor rgb="FF800080"/>
      <rgbColor rgb="FF7B1010"/>
      <rgbColor rgb="FF008080"/>
      <rgbColor rgb="FF0000FF"/>
      <rgbColor rgb="FF00CCFF"/>
      <rgbColor rgb="FFE8F0FE"/>
      <rgbColor rgb="FFC8F0C8"/>
      <rgbColor rgb="FFFFF3CD"/>
      <rgbColor rgb="FFF3E5F5"/>
      <rgbColor rgb="FFFAD7D7"/>
      <rgbColor rgb="FFFFE8E8"/>
      <rgbColor rgb="FFFFB3B3"/>
      <rgbColor rgb="FF3366FF"/>
      <rgbColor rgb="FF33CCCC"/>
      <rgbColor rgb="FF99CC00"/>
      <rgbColor rgb="FFF4F8FC"/>
      <rgbColor rgb="FFFF9900"/>
      <rgbColor rgb="FFFF6600"/>
      <rgbColor rgb="FF555555"/>
      <rgbColor rgb="FF999999"/>
      <rgbColor rgb="FF1E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pfreela.onren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zoomScale="70" zoomScaleNormal="70" zoomScalePageLayoutView="55" workbookViewId="0">
      <selection activeCell="P4" sqref="P4"/>
    </sheetView>
  </sheetViews>
  <sheetFormatPr defaultColWidth="8.7109375" defaultRowHeight="57" customHeight="1" x14ac:dyDescent="0.25"/>
  <cols>
    <col min="1" max="1" width="8" style="1" customWidth="1"/>
    <col min="2" max="2" width="30" style="1" customWidth="1"/>
    <col min="3" max="3" width="11" style="1" customWidth="1"/>
    <col min="4" max="4" width="28" style="1" customWidth="1"/>
    <col min="5" max="5" width="26" style="1" customWidth="1"/>
    <col min="6" max="6" width="28" style="1" customWidth="1"/>
    <col min="7" max="8" width="36" style="1" customWidth="1"/>
    <col min="9" max="9" width="25.42578125" style="1" customWidth="1"/>
    <col min="10" max="10" width="36" style="1" customWidth="1"/>
    <col min="11" max="11" width="11" style="1" customWidth="1"/>
  </cols>
  <sheetData>
    <row r="1" spans="1:11" ht="57" customHeight="1" x14ac:dyDescent="0.2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21.75" customHeight="1" x14ac:dyDescent="0.25">
      <c r="A2" s="35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1" ht="38.25" customHeight="1" x14ac:dyDescent="0.25">
      <c r="A3" s="37" t="s">
        <v>103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ht="57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4" t="s">
        <v>102</v>
      </c>
      <c r="K4" s="4" t="s">
        <v>11</v>
      </c>
    </row>
    <row r="5" spans="1:11" ht="24.75" customHeight="1" x14ac:dyDescent="0.25">
      <c r="A5" s="31" t="s">
        <v>104</v>
      </c>
      <c r="B5" s="31"/>
      <c r="C5" s="31"/>
      <c r="D5" s="31"/>
      <c r="E5" s="31"/>
      <c r="F5" s="31"/>
      <c r="G5" s="31"/>
      <c r="H5" s="31"/>
      <c r="I5" s="31"/>
      <c r="J5" s="31"/>
      <c r="K5" s="31"/>
    </row>
    <row r="6" spans="1:11" ht="57" customHeight="1" x14ac:dyDescent="0.25">
      <c r="A6" s="5" t="s">
        <v>12</v>
      </c>
      <c r="B6" s="6" t="s">
        <v>13</v>
      </c>
      <c r="C6" s="7" t="s">
        <v>14</v>
      </c>
      <c r="D6" s="8" t="s">
        <v>15</v>
      </c>
      <c r="E6" s="8" t="s">
        <v>16</v>
      </c>
      <c r="F6" s="8" t="s">
        <v>17</v>
      </c>
      <c r="G6" s="8" t="s">
        <v>18</v>
      </c>
      <c r="H6" s="8" t="s">
        <v>19</v>
      </c>
      <c r="I6" s="28" t="s">
        <v>174</v>
      </c>
      <c r="J6" s="9"/>
      <c r="K6" s="10" t="s">
        <v>20</v>
      </c>
    </row>
    <row r="7" spans="1:11" ht="57" customHeight="1" x14ac:dyDescent="0.25">
      <c r="A7" s="11" t="s">
        <v>21</v>
      </c>
      <c r="B7" s="12" t="s">
        <v>22</v>
      </c>
      <c r="C7" s="7" t="s">
        <v>14</v>
      </c>
      <c r="D7" s="13" t="s">
        <v>23</v>
      </c>
      <c r="E7" s="13" t="s">
        <v>24</v>
      </c>
      <c r="F7" s="13" t="s">
        <v>25</v>
      </c>
      <c r="G7" s="13" t="s">
        <v>26</v>
      </c>
      <c r="H7" s="13" t="s">
        <v>27</v>
      </c>
      <c r="I7" s="28" t="s">
        <v>174</v>
      </c>
      <c r="J7" s="9"/>
      <c r="K7" s="10" t="s">
        <v>20</v>
      </c>
    </row>
    <row r="8" spans="1:11" ht="57" customHeight="1" x14ac:dyDescent="0.25">
      <c r="A8" s="5" t="s">
        <v>28</v>
      </c>
      <c r="B8" s="6" t="s">
        <v>29</v>
      </c>
      <c r="C8" s="7" t="s">
        <v>14</v>
      </c>
      <c r="D8" s="8" t="s">
        <v>30</v>
      </c>
      <c r="E8" s="8" t="s">
        <v>31</v>
      </c>
      <c r="F8" s="8" t="s">
        <v>32</v>
      </c>
      <c r="G8" s="8" t="s">
        <v>33</v>
      </c>
      <c r="H8" s="8" t="s">
        <v>34</v>
      </c>
      <c r="I8" s="28" t="s">
        <v>174</v>
      </c>
      <c r="J8" s="9"/>
      <c r="K8" s="10" t="s">
        <v>20</v>
      </c>
    </row>
    <row r="9" spans="1:11" ht="57" customHeight="1" x14ac:dyDescent="0.25">
      <c r="A9" s="5" t="s">
        <v>35</v>
      </c>
      <c r="B9" s="6" t="s">
        <v>130</v>
      </c>
      <c r="C9" s="29" t="s">
        <v>14</v>
      </c>
      <c r="D9" s="8" t="s">
        <v>105</v>
      </c>
      <c r="E9" s="8" t="s">
        <v>106</v>
      </c>
      <c r="F9" s="8" t="s">
        <v>107</v>
      </c>
      <c r="G9" s="8" t="s">
        <v>108</v>
      </c>
      <c r="H9" s="8" t="s">
        <v>109</v>
      </c>
      <c r="I9" s="28" t="s">
        <v>174</v>
      </c>
      <c r="J9" s="9"/>
      <c r="K9" s="10" t="s">
        <v>20</v>
      </c>
    </row>
    <row r="10" spans="1:11" ht="57" customHeight="1" x14ac:dyDescent="0.25">
      <c r="A10" s="11" t="s">
        <v>43</v>
      </c>
      <c r="B10" s="12" t="s">
        <v>131</v>
      </c>
      <c r="C10" s="29" t="s">
        <v>14</v>
      </c>
      <c r="D10" s="13" t="s">
        <v>110</v>
      </c>
      <c r="E10" s="13" t="s">
        <v>111</v>
      </c>
      <c r="F10" s="13" t="s">
        <v>112</v>
      </c>
      <c r="G10" s="13" t="s">
        <v>113</v>
      </c>
      <c r="H10" s="13" t="s">
        <v>114</v>
      </c>
      <c r="I10" s="28" t="s">
        <v>174</v>
      </c>
      <c r="J10" s="9"/>
      <c r="K10" s="14" t="s">
        <v>42</v>
      </c>
    </row>
    <row r="11" spans="1:11" ht="57" customHeight="1" x14ac:dyDescent="0.25">
      <c r="A11" s="5" t="s">
        <v>50</v>
      </c>
      <c r="B11" s="6" t="s">
        <v>132</v>
      </c>
      <c r="C11" s="29" t="s">
        <v>14</v>
      </c>
      <c r="D11" s="8" t="s">
        <v>115</v>
      </c>
      <c r="E11" s="8" t="s">
        <v>116</v>
      </c>
      <c r="F11" s="8" t="s">
        <v>117</v>
      </c>
      <c r="G11" s="8" t="s">
        <v>118</v>
      </c>
      <c r="H11" s="8" t="s">
        <v>119</v>
      </c>
      <c r="I11" s="28" t="s">
        <v>174</v>
      </c>
      <c r="J11" s="9"/>
      <c r="K11" s="10" t="s">
        <v>20</v>
      </c>
    </row>
    <row r="12" spans="1:11" ht="57" customHeight="1" x14ac:dyDescent="0.25">
      <c r="A12" s="11" t="s">
        <v>56</v>
      </c>
      <c r="B12" s="12" t="s">
        <v>133</v>
      </c>
      <c r="C12" s="29" t="s">
        <v>14</v>
      </c>
      <c r="D12" s="13" t="s">
        <v>120</v>
      </c>
      <c r="E12" s="13" t="s">
        <v>121</v>
      </c>
      <c r="F12" s="13" t="s">
        <v>122</v>
      </c>
      <c r="G12" s="13" t="s">
        <v>123</v>
      </c>
      <c r="H12" s="13" t="s">
        <v>124</v>
      </c>
      <c r="I12" s="28" t="s">
        <v>174</v>
      </c>
      <c r="J12" s="9"/>
      <c r="K12" s="14" t="s">
        <v>42</v>
      </c>
    </row>
    <row r="13" spans="1:11" ht="57" customHeight="1" x14ac:dyDescent="0.25">
      <c r="A13" s="5" t="s">
        <v>63</v>
      </c>
      <c r="B13" s="6" t="s">
        <v>134</v>
      </c>
      <c r="C13" s="29" t="s">
        <v>14</v>
      </c>
      <c r="D13" s="8" t="s">
        <v>125</v>
      </c>
      <c r="E13" s="8" t="s">
        <v>126</v>
      </c>
      <c r="F13" s="8" t="s">
        <v>127</v>
      </c>
      <c r="G13" s="8" t="s">
        <v>128</v>
      </c>
      <c r="H13" s="8" t="s">
        <v>129</v>
      </c>
      <c r="I13" s="28" t="s">
        <v>174</v>
      </c>
      <c r="J13" s="9"/>
      <c r="K13" s="10" t="s">
        <v>20</v>
      </c>
    </row>
    <row r="14" spans="1:11" ht="57" customHeight="1" x14ac:dyDescent="0.25">
      <c r="A14" s="11" t="s">
        <v>69</v>
      </c>
      <c r="B14" s="12" t="s">
        <v>36</v>
      </c>
      <c r="C14" s="7" t="s">
        <v>14</v>
      </c>
      <c r="D14" s="13" t="s">
        <v>37</v>
      </c>
      <c r="E14" s="13" t="s">
        <v>38</v>
      </c>
      <c r="F14" s="13" t="s">
        <v>39</v>
      </c>
      <c r="G14" s="13" t="s">
        <v>40</v>
      </c>
      <c r="H14" s="13" t="s">
        <v>41</v>
      </c>
      <c r="I14" s="28" t="s">
        <v>174</v>
      </c>
      <c r="J14" s="9"/>
      <c r="K14" s="14" t="s">
        <v>42</v>
      </c>
    </row>
    <row r="15" spans="1:11" ht="24.75" customHeight="1" x14ac:dyDescent="0.25">
      <c r="A15" s="32" t="s">
        <v>135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</row>
    <row r="16" spans="1:11" ht="57" customHeight="1" x14ac:dyDescent="0.25">
      <c r="A16" s="5" t="s">
        <v>75</v>
      </c>
      <c r="B16" s="6" t="s">
        <v>44</v>
      </c>
      <c r="C16" s="15" t="s">
        <v>45</v>
      </c>
      <c r="D16" s="8" t="s">
        <v>46</v>
      </c>
      <c r="E16" s="8" t="s">
        <v>38</v>
      </c>
      <c r="F16" s="8" t="s">
        <v>47</v>
      </c>
      <c r="G16" s="8" t="s">
        <v>48</v>
      </c>
      <c r="H16" s="8" t="s">
        <v>49</v>
      </c>
      <c r="I16" s="28" t="s">
        <v>174</v>
      </c>
      <c r="J16" s="9"/>
      <c r="K16" s="10" t="s">
        <v>20</v>
      </c>
    </row>
    <row r="17" spans="1:11" ht="57" customHeight="1" x14ac:dyDescent="0.25">
      <c r="A17" s="5" t="s">
        <v>81</v>
      </c>
      <c r="B17" s="12" t="s">
        <v>51</v>
      </c>
      <c r="C17" s="15" t="s">
        <v>45</v>
      </c>
      <c r="D17" s="13" t="s">
        <v>52</v>
      </c>
      <c r="E17" s="13" t="s">
        <v>38</v>
      </c>
      <c r="F17" s="13" t="s">
        <v>53</v>
      </c>
      <c r="G17" s="13" t="s">
        <v>54</v>
      </c>
      <c r="H17" s="13" t="s">
        <v>55</v>
      </c>
      <c r="I17" s="28" t="s">
        <v>174</v>
      </c>
      <c r="J17" s="9"/>
      <c r="K17" s="10" t="s">
        <v>20</v>
      </c>
    </row>
    <row r="18" spans="1:11" ht="57" customHeight="1" x14ac:dyDescent="0.25">
      <c r="A18" s="5" t="s">
        <v>164</v>
      </c>
      <c r="B18" s="6" t="s">
        <v>57</v>
      </c>
      <c r="C18" s="15" t="s">
        <v>45</v>
      </c>
      <c r="D18" s="8" t="s">
        <v>58</v>
      </c>
      <c r="E18" s="8" t="s">
        <v>59</v>
      </c>
      <c r="F18" s="8" t="s">
        <v>60</v>
      </c>
      <c r="G18" s="8" t="s">
        <v>61</v>
      </c>
      <c r="H18" s="8" t="s">
        <v>62</v>
      </c>
      <c r="I18" s="28" t="s">
        <v>174</v>
      </c>
      <c r="J18" s="9"/>
      <c r="K18" s="10" t="s">
        <v>20</v>
      </c>
    </row>
    <row r="19" spans="1:11" ht="57" customHeight="1" x14ac:dyDescent="0.25">
      <c r="A19" s="11" t="s">
        <v>165</v>
      </c>
      <c r="B19" s="12" t="s">
        <v>64</v>
      </c>
      <c r="C19" s="15" t="s">
        <v>45</v>
      </c>
      <c r="D19" s="13" t="s">
        <v>65</v>
      </c>
      <c r="E19" s="13" t="s">
        <v>38</v>
      </c>
      <c r="F19" s="13" t="s">
        <v>66</v>
      </c>
      <c r="G19" s="13" t="s">
        <v>67</v>
      </c>
      <c r="H19" s="13" t="s">
        <v>68</v>
      </c>
      <c r="I19" s="28" t="s">
        <v>174</v>
      </c>
      <c r="J19" s="9"/>
      <c r="K19" s="10" t="s">
        <v>20</v>
      </c>
    </row>
    <row r="20" spans="1:11" ht="57" customHeight="1" x14ac:dyDescent="0.25">
      <c r="A20" s="5" t="s">
        <v>166</v>
      </c>
      <c r="B20" s="6" t="s">
        <v>70</v>
      </c>
      <c r="C20" s="15" t="s">
        <v>45</v>
      </c>
      <c r="D20" s="8" t="s">
        <v>71</v>
      </c>
      <c r="E20" s="8" t="s">
        <v>38</v>
      </c>
      <c r="F20" s="8" t="s">
        <v>72</v>
      </c>
      <c r="G20" s="8" t="s">
        <v>73</v>
      </c>
      <c r="H20" s="8" t="s">
        <v>74</v>
      </c>
      <c r="I20" s="28" t="s">
        <v>174</v>
      </c>
      <c r="J20" s="9"/>
      <c r="K20" s="10" t="s">
        <v>20</v>
      </c>
    </row>
    <row r="21" spans="1:11" ht="57" customHeight="1" x14ac:dyDescent="0.25">
      <c r="A21" s="11" t="s">
        <v>167</v>
      </c>
      <c r="B21" s="12" t="s">
        <v>76</v>
      </c>
      <c r="C21" s="15" t="s">
        <v>45</v>
      </c>
      <c r="D21" s="13" t="s">
        <v>77</v>
      </c>
      <c r="E21" s="13" t="s">
        <v>38</v>
      </c>
      <c r="F21" s="13" t="s">
        <v>78</v>
      </c>
      <c r="G21" s="13" t="s">
        <v>79</v>
      </c>
      <c r="H21" s="13" t="s">
        <v>80</v>
      </c>
      <c r="I21" s="28" t="s">
        <v>174</v>
      </c>
      <c r="J21" s="9"/>
      <c r="K21" s="14" t="s">
        <v>42</v>
      </c>
    </row>
    <row r="22" spans="1:11" ht="57" customHeight="1" x14ac:dyDescent="0.25">
      <c r="A22" s="5" t="s">
        <v>168</v>
      </c>
      <c r="B22" s="6" t="s">
        <v>82</v>
      </c>
      <c r="C22" s="15" t="s">
        <v>45</v>
      </c>
      <c r="D22" s="8" t="s">
        <v>83</v>
      </c>
      <c r="E22" s="8" t="s">
        <v>84</v>
      </c>
      <c r="F22" s="8" t="s">
        <v>85</v>
      </c>
      <c r="G22" s="8" t="s">
        <v>86</v>
      </c>
      <c r="H22" s="8" t="s">
        <v>87</v>
      </c>
      <c r="I22" s="28" t="s">
        <v>175</v>
      </c>
      <c r="J22" s="9" t="s">
        <v>176</v>
      </c>
      <c r="K22" s="10" t="s">
        <v>20</v>
      </c>
    </row>
    <row r="23" spans="1:11" ht="57" customHeight="1" x14ac:dyDescent="0.25">
      <c r="A23" s="5" t="s">
        <v>169</v>
      </c>
      <c r="B23" s="6" t="s">
        <v>136</v>
      </c>
      <c r="C23" s="30" t="s">
        <v>45</v>
      </c>
      <c r="D23" s="8" t="s">
        <v>137</v>
      </c>
      <c r="E23" s="8" t="s">
        <v>138</v>
      </c>
      <c r="F23" s="8" t="s">
        <v>139</v>
      </c>
      <c r="G23" s="8" t="s">
        <v>140</v>
      </c>
      <c r="H23" s="8" t="s">
        <v>141</v>
      </c>
      <c r="I23" s="28" t="s">
        <v>175</v>
      </c>
      <c r="J23" s="9" t="s">
        <v>177</v>
      </c>
      <c r="K23" s="10" t="s">
        <v>20</v>
      </c>
    </row>
    <row r="24" spans="1:11" ht="57" customHeight="1" x14ac:dyDescent="0.25">
      <c r="A24" s="11" t="s">
        <v>170</v>
      </c>
      <c r="B24" s="12" t="s">
        <v>142</v>
      </c>
      <c r="C24" s="30" t="s">
        <v>45</v>
      </c>
      <c r="D24" s="13" t="s">
        <v>143</v>
      </c>
      <c r="E24" s="13" t="s">
        <v>144</v>
      </c>
      <c r="F24" s="13" t="s">
        <v>145</v>
      </c>
      <c r="G24" s="13" t="s">
        <v>146</v>
      </c>
      <c r="H24" s="13" t="s">
        <v>147</v>
      </c>
      <c r="I24" s="28" t="s">
        <v>174</v>
      </c>
      <c r="J24" s="9"/>
      <c r="K24" s="10" t="s">
        <v>20</v>
      </c>
    </row>
    <row r="25" spans="1:11" ht="57" customHeight="1" x14ac:dyDescent="0.25">
      <c r="A25" s="5" t="s">
        <v>171</v>
      </c>
      <c r="B25" s="6" t="s">
        <v>148</v>
      </c>
      <c r="C25" s="30" t="s">
        <v>45</v>
      </c>
      <c r="D25" s="8" t="s">
        <v>149</v>
      </c>
      <c r="E25" s="8" t="s">
        <v>38</v>
      </c>
      <c r="F25" s="8" t="s">
        <v>150</v>
      </c>
      <c r="G25" s="8" t="s">
        <v>151</v>
      </c>
      <c r="H25" s="8" t="s">
        <v>152</v>
      </c>
      <c r="I25" s="28" t="s">
        <v>174</v>
      </c>
      <c r="J25" s="9"/>
      <c r="K25" s="10" t="s">
        <v>20</v>
      </c>
    </row>
    <row r="26" spans="1:11" ht="57" customHeight="1" x14ac:dyDescent="0.25">
      <c r="A26" s="11" t="s">
        <v>172</v>
      </c>
      <c r="B26" s="12" t="s">
        <v>153</v>
      </c>
      <c r="C26" s="30" t="s">
        <v>45</v>
      </c>
      <c r="D26" s="13" t="s">
        <v>154</v>
      </c>
      <c r="E26" s="13" t="s">
        <v>38</v>
      </c>
      <c r="F26" s="13" t="s">
        <v>155</v>
      </c>
      <c r="G26" s="13" t="s">
        <v>156</v>
      </c>
      <c r="H26" s="13" t="s">
        <v>157</v>
      </c>
      <c r="I26" s="28" t="s">
        <v>174</v>
      </c>
      <c r="J26" s="9"/>
      <c r="K26" s="14" t="s">
        <v>42</v>
      </c>
    </row>
    <row r="27" spans="1:11" ht="57" customHeight="1" x14ac:dyDescent="0.25">
      <c r="A27" s="5" t="s">
        <v>173</v>
      </c>
      <c r="B27" s="6" t="s">
        <v>158</v>
      </c>
      <c r="C27" s="30" t="s">
        <v>45</v>
      </c>
      <c r="D27" s="8" t="s">
        <v>159</v>
      </c>
      <c r="E27" s="8" t="s">
        <v>160</v>
      </c>
      <c r="F27" s="8" t="s">
        <v>161</v>
      </c>
      <c r="G27" s="8" t="s">
        <v>162</v>
      </c>
      <c r="H27" s="8" t="s">
        <v>163</v>
      </c>
      <c r="I27" s="28" t="s">
        <v>174</v>
      </c>
      <c r="J27" s="9"/>
      <c r="K27" s="14" t="s">
        <v>42</v>
      </c>
    </row>
  </sheetData>
  <mergeCells count="5">
    <mergeCell ref="A1:K1"/>
    <mergeCell ref="A2:K2"/>
    <mergeCell ref="A3:K3"/>
    <mergeCell ref="A5:K5"/>
    <mergeCell ref="A15:K15"/>
  </mergeCells>
  <conditionalFormatting sqref="I6:I27">
    <cfRule type="beginsWith" dxfId="2" priority="1" operator="beginsWith" text="N">
      <formula>LEFT(I6,LEN("N"))="N"</formula>
    </cfRule>
    <cfRule type="beginsWith" dxfId="1" priority="2" operator="beginsWith" text="F">
      <formula>LEFT(I6,LEN("F"))="F"</formula>
    </cfRule>
    <cfRule type="beginsWith" dxfId="0" priority="3" operator="beginsWith" text="P">
      <formula>LEFT(I6,LEN("P"))="P"</formula>
    </cfRule>
  </conditionalFormatting>
  <dataValidations count="3">
    <dataValidation type="list" allowBlank="1" showInputMessage="1" showErrorMessage="1" errorTitle="Valor inválido" error="Selecione: Pass, Fail ou Não Executado" promptTitle="Status do Teste" prompt="Selecione o resultado: Pass, Fail ou Não Executado" sqref="I5 I15">
      <formula1>"Pass,Fail,Não Executado"</formula1>
      <formula2>0</formula2>
    </dataValidation>
    <dataValidation type="list" allowBlank="1" showInputMessage="1" showErrorMessage="1" errorTitle="Valor inválido" error="Selecione: Pass, Fail ou Não Executado" promptTitle="Status do Teste" prompt="Selecione o resultado: Pass, Fail ou Não Executado" sqref="I6:I14 I16:I206">
      <formula1>"Pass,Fail,Não Executado"</formula1>
    </dataValidation>
    <dataValidation type="list" allowBlank="1" showInputMessage="1" showErrorMessage="1" errorTitle="Valor inválido" error="Selecione: Alta, Média ou Baixa" promptTitle="Prioridade" prompt="Selecione a prioridade do teste" sqref="K9:K13 K15 K23:K27">
      <formula1>"Alta,Média,Baixa"</formula1>
      <formula2>0</formula2>
    </dataValidation>
  </dataValidations>
  <hyperlinks>
    <hyperlink ref="A3" r:id="rId1" display="https://appfreela.onrender.com"/>
  </hyperlinks>
  <pageMargins left="0.75" right="0.75" top="1" bottom="1" header="0.511811023622047" footer="0.511811023622047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zoomScaleNormal="100" workbookViewId="0">
      <selection sqref="A1:C1"/>
    </sheetView>
  </sheetViews>
  <sheetFormatPr defaultColWidth="8.7109375" defaultRowHeight="15" x14ac:dyDescent="0.25"/>
  <cols>
    <col min="1" max="1" width="28" style="1" customWidth="1"/>
    <col min="2" max="2" width="18" style="1" customWidth="1"/>
    <col min="3" max="3" width="14" style="1" customWidth="1"/>
  </cols>
  <sheetData>
    <row r="1" spans="1:3" ht="25.5" customHeight="1" x14ac:dyDescent="0.25">
      <c r="A1" s="33" t="s">
        <v>88</v>
      </c>
      <c r="B1" s="38"/>
      <c r="C1" s="38"/>
    </row>
    <row r="3" spans="1:3" ht="15" customHeight="1" x14ac:dyDescent="0.25">
      <c r="A3" s="16" t="s">
        <v>89</v>
      </c>
      <c r="B3" s="16" t="s">
        <v>90</v>
      </c>
      <c r="C3" s="16" t="s">
        <v>91</v>
      </c>
    </row>
    <row r="4" spans="1:3" ht="15" customHeight="1" x14ac:dyDescent="0.25">
      <c r="A4" s="6" t="s">
        <v>92</v>
      </c>
      <c r="B4" s="17">
        <f>COUNTA('Execução de Testes'!A6:A206)</f>
        <v>22</v>
      </c>
      <c r="C4" s="18" t="s">
        <v>93</v>
      </c>
    </row>
    <row r="5" spans="1:3" ht="15" customHeight="1" x14ac:dyDescent="0.25">
      <c r="A5" s="12" t="s">
        <v>94</v>
      </c>
      <c r="B5" s="19">
        <f>COUNTIF('Execução de Testes'!C6:C206,"POSITIVO")</f>
        <v>9</v>
      </c>
      <c r="C5" s="20">
        <f>IFERROR(B5/B4,0)</f>
        <v>0.40909090909090912</v>
      </c>
    </row>
    <row r="6" spans="1:3" ht="15" customHeight="1" x14ac:dyDescent="0.25">
      <c r="A6" s="6" t="s">
        <v>95</v>
      </c>
      <c r="B6" s="17">
        <f>COUNTIF('Execução de Testes'!C6:C206,"NEGATIVO")</f>
        <v>12</v>
      </c>
      <c r="C6" s="21">
        <f>IFERROR(B6/B4,0)</f>
        <v>0.54545454545454541</v>
      </c>
    </row>
    <row r="7" spans="1:3" ht="15" customHeight="1" x14ac:dyDescent="0.25">
      <c r="A7" s="12" t="s">
        <v>96</v>
      </c>
      <c r="B7" s="19">
        <f>COUNTIF('Execução de Testes'!K6:K206,"Alta")</f>
        <v>15</v>
      </c>
      <c r="C7" s="20">
        <f>IFERROR(B7/B4,0)</f>
        <v>0.68181818181818177</v>
      </c>
    </row>
    <row r="8" spans="1:3" ht="15" customHeight="1" x14ac:dyDescent="0.25">
      <c r="A8" s="6" t="s">
        <v>97</v>
      </c>
      <c r="B8" s="17">
        <f>COUNTIF('Execução de Testes'!K6:K206,"Média")</f>
        <v>6</v>
      </c>
      <c r="C8" s="21">
        <f>IFERROR(B8/B4,0)</f>
        <v>0.27272727272727271</v>
      </c>
    </row>
    <row r="9" spans="1:3" ht="15" customHeight="1" x14ac:dyDescent="0.25">
      <c r="A9" s="12" t="s">
        <v>98</v>
      </c>
      <c r="B9" s="19">
        <f>COUNTIF('Execução de Testes'!K6:K206,"Baixa")</f>
        <v>0</v>
      </c>
      <c r="C9" s="20">
        <f>IFERROR(B9/B4,0)</f>
        <v>0</v>
      </c>
    </row>
    <row r="10" spans="1:3" ht="15" customHeight="1" x14ac:dyDescent="0.25">
      <c r="A10" s="22" t="s">
        <v>99</v>
      </c>
      <c r="B10" s="23">
        <f>COUNTIF('Execução de Testes'!I6:I206,"Pass")</f>
        <v>19</v>
      </c>
      <c r="C10" s="24">
        <f>IFERROR(B10/B4,0)</f>
        <v>0.86363636363636365</v>
      </c>
    </row>
    <row r="11" spans="1:3" ht="15" customHeight="1" x14ac:dyDescent="0.25">
      <c r="A11" s="25" t="s">
        <v>100</v>
      </c>
      <c r="B11" s="26">
        <f>COUNTIF('Execução de Testes'!I6:I206,"Fail")</f>
        <v>2</v>
      </c>
      <c r="C11" s="27">
        <f>IFERROR(B11/B4,0)</f>
        <v>9.0909090909090912E-2</v>
      </c>
    </row>
    <row r="12" spans="1:3" ht="15" customHeight="1" x14ac:dyDescent="0.25">
      <c r="A12" s="6" t="s">
        <v>101</v>
      </c>
      <c r="B12" s="17">
        <f>COUNTA('Execução de Testes'!A6:A206)-COUNTIF('Execução de Testes'!I6:I206,"Pass")-COUNTIF('Execução de Testes'!I6:I206,"Fail")</f>
        <v>1</v>
      </c>
      <c r="C12" s="21">
        <f>IFERROR(B12/B4,0)</f>
        <v>4.5454545454545456E-2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Execução de Testes</vt:lpstr>
      <vt:lpstr>Resumo Executivo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Júlio César da Silva Ferreira</cp:lastModifiedBy>
  <cp:revision>0</cp:revision>
  <dcterms:created xsi:type="dcterms:W3CDTF">2026-05-20T18:35:06Z</dcterms:created>
  <dcterms:modified xsi:type="dcterms:W3CDTF">2026-05-21T18:06:17Z</dcterms:modified>
  <dc:language>en-US</dc:language>
</cp:coreProperties>
</file>